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27F778-03E3-49FB-95F6-5A400AFE8323}" xr6:coauthVersionLast="45" xr6:coauthVersionMax="45" xr10:uidLastSave="{00000000-0000-0000-0000-000000000000}"/>
  <bookViews>
    <workbookView xWindow="-120" yWindow="-120" windowWidth="20730" windowHeight="11160" firstSheet="3" activeTab="6" xr2:uid="{45C4F6ED-F32A-4400-9E36-0A11C6AADAC0}"/>
  </bookViews>
  <sheets>
    <sheet name="Raw Income Statement" sheetId="1" r:id="rId1"/>
    <sheet name="Raw Balance Sheet" sheetId="2" r:id="rId2"/>
    <sheet name="Raw Cash Flow Statement" sheetId="3" r:id="rId3"/>
    <sheet name="Income Analysis" sheetId="5" r:id="rId4"/>
    <sheet name="Balance Sheet Analysis" sheetId="6" r:id="rId5"/>
    <sheet name="Cash Flow Analysis" sheetId="8" r:id="rId6"/>
    <sheet name="Dashboard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9" l="1"/>
  <c r="M5" i="9"/>
  <c r="I5" i="9"/>
  <c r="E5" i="9"/>
  <c r="D12" i="5"/>
  <c r="C12" i="5"/>
  <c r="D12" i="8"/>
  <c r="D17" i="8"/>
  <c r="C17" i="8"/>
  <c r="B17" i="8"/>
  <c r="D16" i="8"/>
  <c r="C16" i="8"/>
  <c r="B16" i="8"/>
  <c r="C15" i="8"/>
  <c r="D15" i="8"/>
  <c r="C10" i="8"/>
  <c r="D10" i="8"/>
  <c r="D5" i="8"/>
  <c r="D6" i="8"/>
  <c r="D7" i="8"/>
  <c r="D8" i="8"/>
  <c r="C5" i="8"/>
  <c r="C6" i="8"/>
  <c r="C7" i="8"/>
  <c r="C8" i="8"/>
  <c r="B5" i="8"/>
  <c r="B6" i="8"/>
  <c r="B7" i="8"/>
  <c r="B8" i="8"/>
  <c r="B10" i="8" s="1"/>
  <c r="B15" i="8"/>
  <c r="C12" i="8"/>
  <c r="D4" i="8"/>
  <c r="C4" i="8"/>
  <c r="B4" i="8"/>
  <c r="D4" i="6"/>
  <c r="C4" i="6"/>
  <c r="D8" i="6"/>
  <c r="D26" i="6" s="1"/>
  <c r="C8" i="6"/>
  <c r="C20" i="6" s="1"/>
  <c r="B8" i="6"/>
  <c r="D16" i="6"/>
  <c r="D15" i="6"/>
  <c r="D17" i="6"/>
  <c r="D18" i="6"/>
  <c r="D27" i="6" s="1"/>
  <c r="C16" i="6"/>
  <c r="C17" i="6"/>
  <c r="C18" i="6"/>
  <c r="B16" i="6"/>
  <c r="B17" i="6"/>
  <c r="B18" i="6"/>
  <c r="C29" i="6" s="1"/>
  <c r="D7" i="6"/>
  <c r="D10" i="6"/>
  <c r="D11" i="6"/>
  <c r="D12" i="6"/>
  <c r="D13" i="6"/>
  <c r="C7" i="6"/>
  <c r="C10" i="6"/>
  <c r="C11" i="6"/>
  <c r="C12" i="6"/>
  <c r="C13" i="6"/>
  <c r="B7" i="6"/>
  <c r="C22" i="6" s="1"/>
  <c r="B10" i="6"/>
  <c r="B11" i="6"/>
  <c r="B12" i="6"/>
  <c r="B13" i="6"/>
  <c r="C5" i="6"/>
  <c r="D5" i="6"/>
  <c r="B5" i="6"/>
  <c r="B6" i="6"/>
  <c r="C21" i="6" s="1"/>
  <c r="C27" i="6"/>
  <c r="D25" i="6"/>
  <c r="C25" i="6"/>
  <c r="D21" i="6"/>
  <c r="D23" i="6"/>
  <c r="D22" i="6"/>
  <c r="A18" i="6"/>
  <c r="A17" i="6"/>
  <c r="A16" i="6"/>
  <c r="C15" i="6"/>
  <c r="B15" i="6"/>
  <c r="A15" i="6"/>
  <c r="A13" i="6"/>
  <c r="A12" i="6"/>
  <c r="A11" i="6"/>
  <c r="A10" i="6"/>
  <c r="A8" i="6"/>
  <c r="A7" i="6"/>
  <c r="D6" i="6"/>
  <c r="C6" i="6"/>
  <c r="A6" i="6"/>
  <c r="D18" i="5"/>
  <c r="C18" i="5"/>
  <c r="B18" i="5"/>
  <c r="D17" i="5"/>
  <c r="C17" i="5"/>
  <c r="B17" i="5"/>
  <c r="D16" i="5"/>
  <c r="C16" i="5"/>
  <c r="B16" i="5"/>
  <c r="D14" i="5"/>
  <c r="C14" i="5"/>
  <c r="D13" i="5"/>
  <c r="C13" i="5"/>
  <c r="C11" i="5"/>
  <c r="D11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13" i="8" l="1"/>
  <c r="C13" i="8"/>
  <c r="D20" i="6"/>
  <c r="C26" i="6"/>
  <c r="B25" i="6"/>
  <c r="D28" i="6"/>
  <c r="D29" i="6"/>
  <c r="C23" i="6"/>
  <c r="B26" i="6"/>
  <c r="B28" i="6"/>
  <c r="B27" i="6"/>
  <c r="C28" i="6"/>
</calcChain>
</file>

<file path=xl/sharedStrings.xml><?xml version="1.0" encoding="utf-8"?>
<sst xmlns="http://schemas.openxmlformats.org/spreadsheetml/2006/main" count="143" uniqueCount="107">
  <si>
    <t>USD millions</t>
  </si>
  <si>
    <t>FY2024</t>
  </si>
  <si>
    <t>FY2025</t>
  </si>
  <si>
    <t>FY2026</t>
  </si>
  <si>
    <t>Revenue</t>
  </si>
  <si>
    <t>Cost of revenue</t>
  </si>
  <si>
    <t>Gross profit</t>
  </si>
  <si>
    <t>R&amp;D</t>
  </si>
  <si>
    <t>SG&amp;A</t>
  </si>
  <si>
    <t>Total operating expenses</t>
  </si>
  <si>
    <t>Operating income</t>
  </si>
  <si>
    <t>Interest income</t>
  </si>
  <si>
    <t>Interest expense</t>
  </si>
  <si>
    <t>Other income, net</t>
  </si>
  <si>
    <t>Total other income, net</t>
  </si>
  <si>
    <t>Income before tax</t>
  </si>
  <si>
    <t>Income tax expense</t>
  </si>
  <si>
    <t>Net income</t>
  </si>
  <si>
    <t>Particular</t>
  </si>
  <si>
    <t>Cash &amp; cash equivalents</t>
  </si>
  <si>
    <t>—</t>
  </si>
  <si>
    <t>Marketable securities</t>
  </si>
  <si>
    <t>Inventories</t>
  </si>
  <si>
    <t>Prepaid expenses &amp; other current assets</t>
  </si>
  <si>
    <t>Total current assets</t>
  </si>
  <si>
    <t>Accounts payable</t>
  </si>
  <si>
    <t>Accrued &amp; other current liabilities</t>
  </si>
  <si>
    <t>Short-term debt</t>
  </si>
  <si>
    <t>Total current liabilities</t>
  </si>
  <si>
    <t>Long-term debt</t>
  </si>
  <si>
    <t>Total liabilities</t>
  </si>
  <si>
    <t>Total shareholders' equity</t>
  </si>
  <si>
    <t>Depreciation &amp; amortization</t>
  </si>
  <si>
    <t>Stock-based compensation</t>
  </si>
  <si>
    <t>Net cash provided by operating activities</t>
  </si>
  <si>
    <t>Capital expenditure</t>
  </si>
  <si>
    <t>Total Debt</t>
  </si>
  <si>
    <t>s</t>
  </si>
  <si>
    <t>NVIDIA Financial Performance Analysis</t>
  </si>
  <si>
    <t>Gross Profit</t>
  </si>
  <si>
    <t>Total Operating Expenses</t>
  </si>
  <si>
    <t>Operating Income</t>
  </si>
  <si>
    <t>Income Before Tax</t>
  </si>
  <si>
    <t>Net Income</t>
  </si>
  <si>
    <t>Revenue Growth</t>
  </si>
  <si>
    <t>N/A</t>
  </si>
  <si>
    <t xml:space="preserve">Gross Profit Growth </t>
  </si>
  <si>
    <t>Operating Income Growth</t>
  </si>
  <si>
    <t>Net Income Growth</t>
  </si>
  <si>
    <t xml:space="preserve">N/A </t>
  </si>
  <si>
    <t>Gross Profit Margin</t>
  </si>
  <si>
    <t>Operating Margin</t>
  </si>
  <si>
    <t>Net Profit Margin</t>
  </si>
  <si>
    <t>NVIDIA Balance Sheet Analysis</t>
  </si>
  <si>
    <t xml:space="preserve">Particular </t>
  </si>
  <si>
    <t>Cash &amp; Cash Equivalents</t>
  </si>
  <si>
    <t xml:space="preserve">Marketable Securities </t>
  </si>
  <si>
    <t>Accounts receivable</t>
  </si>
  <si>
    <t>Current Assets Growth</t>
  </si>
  <si>
    <t>Accounts Receivable Growth</t>
  </si>
  <si>
    <t>Inventory Growth</t>
  </si>
  <si>
    <t>Total Debt Growth</t>
  </si>
  <si>
    <t>Current Ratio</t>
  </si>
  <si>
    <t>Quick Ratio</t>
  </si>
  <si>
    <t>Debt-to-Equity</t>
  </si>
  <si>
    <t>Debt Ratio</t>
  </si>
  <si>
    <t>Shareholders' Equity Growth</t>
  </si>
  <si>
    <t>NVIDIA Cash Flow Analysis</t>
  </si>
  <si>
    <t>Depreciation &amp; Amortization</t>
  </si>
  <si>
    <t>Stock-Based Compensation</t>
  </si>
  <si>
    <t>Operating Cash Flow</t>
  </si>
  <si>
    <t>Capital Expenditure</t>
  </si>
  <si>
    <t>Free Cash Flow</t>
  </si>
  <si>
    <t>Operating Cash Flow Growth</t>
  </si>
  <si>
    <t>Free Cash Flow Growth</t>
  </si>
  <si>
    <t>Operating Cash Flow Margin</t>
  </si>
  <si>
    <t>Free Cash Flow Margin</t>
  </si>
  <si>
    <t>Operating Cash Flow / Net Income</t>
  </si>
  <si>
    <t xml:space="preserve">Particular                         </t>
  </si>
  <si>
    <r>
      <t xml:space="preserve">                          </t>
    </r>
    <r>
      <rPr>
        <b/>
        <sz val="18"/>
        <color theme="1"/>
        <rFont val="Calibri"/>
        <family val="2"/>
        <scheme val="minor"/>
      </rPr>
      <t xml:space="preserve">   NVIDIA FINANCIAL PERFORMANCE DASHBOARD</t>
    </r>
  </si>
  <si>
    <t>Financial Performance Analysis | FY2024–FY2026</t>
  </si>
  <si>
    <t>Revenue FY2026</t>
  </si>
  <si>
    <t>Net income FY2026</t>
  </si>
  <si>
    <t>Operating cash flow FY2026</t>
  </si>
  <si>
    <t>Free cash flow FY2026</t>
  </si>
  <si>
    <t>Ratio</t>
  </si>
  <si>
    <t>4.17x</t>
  </si>
  <si>
    <t>4.44x</t>
  </si>
  <si>
    <t>3.91x</t>
  </si>
  <si>
    <t>3.67x</t>
  </si>
  <si>
    <t>3.88x</t>
  </si>
  <si>
    <t>3.24x</t>
  </si>
  <si>
    <t>0.23x</t>
  </si>
  <si>
    <t>0.11x</t>
  </si>
  <si>
    <t>0.05x</t>
  </si>
  <si>
    <t xml:space="preserve">                  Liquidity &amp; Leverage</t>
  </si>
  <si>
    <t>KEY INSIGHTS</t>
  </si>
  <si>
    <t>1. Exceptional Revenue Growth</t>
  </si>
  <si>
    <r>
      <t xml:space="preserve">Revenue increased from </t>
    </r>
    <r>
      <rPr>
        <b/>
        <sz val="11"/>
        <color theme="1"/>
        <rFont val="Calibri"/>
        <family val="2"/>
        <scheme val="minor"/>
      </rPr>
      <t>$60.9B in FY2024 to $215.9B in FY2026</t>
    </r>
    <r>
      <rPr>
        <sz val="11"/>
        <color theme="1"/>
        <rFont val="Calibri"/>
        <family val="2"/>
        <scheme val="minor"/>
      </rPr>
      <t xml:space="preserve">, with growth of </t>
    </r>
    <r>
      <rPr>
        <b/>
        <sz val="11"/>
        <color theme="1"/>
        <rFont val="Calibri"/>
        <family val="2"/>
        <scheme val="minor"/>
      </rPr>
      <t>114.2% in FY2025 and 65.5% in FY2026</t>
    </r>
    <r>
      <rPr>
        <sz val="11"/>
        <color theme="1"/>
        <rFont val="Calibri"/>
        <family val="2"/>
        <scheme val="minor"/>
      </rPr>
      <t>, indicating sustained business expansion.</t>
    </r>
  </si>
  <si>
    <t>2. Strong Profitability</t>
  </si>
  <si>
    <r>
      <t xml:space="preserve">Net profit margin improved from </t>
    </r>
    <r>
      <rPr>
        <b/>
        <sz val="11"/>
        <color theme="1"/>
        <rFont val="Calibri"/>
        <family val="2"/>
        <scheme val="minor"/>
      </rPr>
      <t>48.9% in FY2024 to 55.6% in FY2026</t>
    </r>
    <r>
      <rPr>
        <sz val="11"/>
        <color theme="1"/>
        <rFont val="Calibri"/>
        <family val="2"/>
        <scheme val="minor"/>
      </rPr>
      <t xml:space="preserve">, while operating margin remained above </t>
    </r>
    <r>
      <rPr>
        <b/>
        <sz val="11"/>
        <color theme="1"/>
        <rFont val="Calibri"/>
        <family val="2"/>
        <scheme val="minor"/>
      </rPr>
      <t>54%</t>
    </r>
    <r>
      <rPr>
        <sz val="11"/>
        <color theme="1"/>
        <rFont val="Calibri"/>
        <family val="2"/>
        <scheme val="minor"/>
      </rPr>
      <t>, demonstrating strong profitability.</t>
    </r>
  </si>
  <si>
    <t>3. Strong Cash Generation</t>
  </si>
  <si>
    <r>
      <t xml:space="preserve">Operating cash flow increased from </t>
    </r>
    <r>
      <rPr>
        <b/>
        <sz val="11"/>
        <color theme="1"/>
        <rFont val="Calibri"/>
        <family val="2"/>
        <scheme val="minor"/>
      </rPr>
      <t>$28.1B to $102.7B</t>
    </r>
    <r>
      <rPr>
        <sz val="11"/>
        <color theme="1"/>
        <rFont val="Calibri"/>
        <family val="2"/>
        <scheme val="minor"/>
      </rPr>
      <t xml:space="preserve"> between FY2024 and FY2026, indicating strong cash generation alongside earnings growth.</t>
    </r>
  </si>
  <si>
    <t>4. Working Capital Requires Monitoring</t>
  </si>
  <si>
    <r>
      <t xml:space="preserve">Accounts receivable increased </t>
    </r>
    <r>
      <rPr>
        <b/>
        <sz val="11"/>
        <color theme="1"/>
        <rFont val="Calibri"/>
        <family val="2"/>
        <scheme val="minor"/>
      </rPr>
      <t>130.7% in FY2025 and 66.9% in FY2026</t>
    </r>
    <r>
      <rPr>
        <sz val="11"/>
        <color theme="1"/>
        <rFont val="Calibri"/>
        <family val="2"/>
        <scheme val="minor"/>
      </rPr>
      <t xml:space="preserve">, while inventory grew </t>
    </r>
    <r>
      <rPr>
        <b/>
        <sz val="11"/>
        <color theme="1"/>
        <rFont val="Calibri"/>
        <family val="2"/>
        <scheme val="minor"/>
      </rPr>
      <t>112.3% in FY2026</t>
    </r>
    <r>
      <rPr>
        <sz val="11"/>
        <color theme="1"/>
        <rFont val="Calibri"/>
        <family val="2"/>
        <scheme val="minor"/>
      </rPr>
      <t>. These trends highlight the importance of monitoring working-capital efficiency as the business scales.</t>
    </r>
  </si>
  <si>
    <t>5. Lower Financial Leverage</t>
  </si>
  <si>
    <r>
      <t xml:space="preserve">Debt-to-equity declined from </t>
    </r>
    <r>
      <rPr>
        <b/>
        <sz val="11"/>
        <color theme="1"/>
        <rFont val="Calibri"/>
        <family val="2"/>
        <scheme val="minor"/>
      </rPr>
      <t>0.23x in FY2024 to 0.05x in FY2026</t>
    </r>
    <r>
      <rPr>
        <sz val="11"/>
        <color theme="1"/>
        <rFont val="Calibri"/>
        <family val="2"/>
        <scheme val="minor"/>
      </rPr>
      <t>, while total debt remained relatively stable, indicating reduced reliance on debt financing relative to shareholders' equity.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</si>
</sst>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5" formatCode="[$$-409]#,##0.00"/>
    <numFmt numFmtId="166" formatCode="0.00\x"/>
    <numFmt numFmtId="167" formatCode="0.00\ &quot;B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10" fontId="0" fillId="0" borderId="0" xfId="0" applyNumberFormat="1"/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3" fontId="0" fillId="0" borderId="0" xfId="0" applyNumberFormat="1" applyFont="1" applyAlignment="1">
      <alignment horizontal="right" vertical="center" wrapText="1"/>
    </xf>
    <xf numFmtId="164" fontId="0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1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6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Net 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0314960629922"/>
          <c:y val="0.20875000000000005"/>
          <c:w val="0.8521968503937007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Dashboard!$P$3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Dashboard!$Q$2:$S$2</c:f>
              <c:numCache>
                <c:formatCode>General</c:formatCode>
                <c:ptCount val="3"/>
              </c:numCache>
            </c:numRef>
          </c:cat>
          <c:val>
            <c:numRef>
              <c:f>Dashboard!$Q$3:$S$3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815-451A-AFE1-27BF33E0217F}"/>
            </c:ext>
          </c:extLst>
        </c:ser>
        <c:ser>
          <c:idx val="1"/>
          <c:order val="1"/>
          <c:tx>
            <c:strRef>
              <c:f>Dashboard!$P$4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Dashboard!$Q$2:$S$2</c:f>
              <c:numCache>
                <c:formatCode>General</c:formatCode>
                <c:ptCount val="3"/>
              </c:numCache>
            </c:numRef>
          </c:cat>
          <c:val>
            <c:numRef>
              <c:f>Dashboard!$Q$4:$S$4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815-451A-AFE1-27BF33E02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58784"/>
        <c:axId val="672060424"/>
      </c:barChart>
      <c:catAx>
        <c:axId val="6720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60424"/>
        <c:crosses val="autoZero"/>
        <c:auto val="1"/>
        <c:lblAlgn val="ctr"/>
        <c:lblOffset val="100"/>
        <c:noMultiLvlLbl val="0"/>
      </c:catAx>
      <c:valAx>
        <c:axId val="67206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Profitability Margins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Dashboard!$P$8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Percentages</c:v>
              </c:pt>
            </c:strLit>
          </c:cat>
          <c:val>
            <c:numRef>
              <c:f>Dashboard!$Q$8:$S$8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D-49A8-8395-4389B3CE8AA0}"/>
            </c:ext>
          </c:extLst>
        </c:ser>
        <c:ser>
          <c:idx val="1"/>
          <c:order val="1"/>
          <c:tx>
            <c:strRef>
              <c:f>Dashboard!$P$9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Percentages</c:v>
              </c:pt>
            </c:strLit>
          </c:cat>
          <c:val>
            <c:numRef>
              <c:f>Dashboard!$Q$9:$S$9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D-49A8-8395-4389B3CE8AA0}"/>
            </c:ext>
          </c:extLst>
        </c:ser>
        <c:ser>
          <c:idx val="2"/>
          <c:order val="2"/>
          <c:tx>
            <c:strRef>
              <c:f>Dashboard!$P$10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Percentages</c:v>
              </c:pt>
            </c:strLit>
          </c:cat>
          <c:val>
            <c:numRef>
              <c:f>Dashboard!$Q$10:$S$10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D-49A8-8395-4389B3CE8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15912"/>
        <c:axId val="672061080"/>
      </c:lineChart>
      <c:catAx>
        <c:axId val="62261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61080"/>
        <c:crosses val="autoZero"/>
        <c:auto val="1"/>
        <c:lblAlgn val="ctr"/>
        <c:lblOffset val="100"/>
        <c:noMultiLvlLbl val="0"/>
      </c:catAx>
      <c:valAx>
        <c:axId val="67206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1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Operating Cash Flow vs Free Cash Flow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Dashboard!$P$15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Dashboard!$Q$14:$S$14</c:f>
              <c:numCache>
                <c:formatCode>General</c:formatCode>
                <c:ptCount val="3"/>
              </c:numCache>
            </c:numRef>
          </c:cat>
          <c:val>
            <c:numRef>
              <c:f>Dashboard!$Q$15:$S$15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16A-42BB-8E0C-6B533734D646}"/>
            </c:ext>
          </c:extLst>
        </c:ser>
        <c:ser>
          <c:idx val="1"/>
          <c:order val="1"/>
          <c:tx>
            <c:strRef>
              <c:f>Dashboard!$P$16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Dashboard!$Q$14:$S$14</c:f>
              <c:numCache>
                <c:formatCode>General</c:formatCode>
                <c:ptCount val="3"/>
              </c:numCache>
            </c:numRef>
          </c:cat>
          <c:val>
            <c:numRef>
              <c:f>Dashboard!$Q$16:$S$16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16A-42BB-8E0C-6B533734D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264488"/>
        <c:axId val="711091888"/>
      </c:barChart>
      <c:catAx>
        <c:axId val="71126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91888"/>
        <c:crosses val="autoZero"/>
        <c:auto val="1"/>
        <c:lblAlgn val="ctr"/>
        <c:lblOffset val="100"/>
        <c:noMultiLvlLbl val="0"/>
      </c:catAx>
      <c:valAx>
        <c:axId val="7110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6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EB294B-0242-4C1F-974C-B51406805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8</xdr:row>
      <xdr:rowOff>0</xdr:rowOff>
    </xdr:from>
    <xdr:to>
      <xdr:col>13</xdr:col>
      <xdr:colOff>838200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EF854-B060-48EA-A70D-C5A9EDD0F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0</xdr:colOff>
      <xdr:row>30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270665-2CBD-4FC6-9C3A-446002736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48ED-EB3F-4C45-920F-40738C08EA82}">
  <dimension ref="A1:D15"/>
  <sheetViews>
    <sheetView workbookViewId="0">
      <selection activeCell="D1" sqref="D1"/>
    </sheetView>
  </sheetViews>
  <sheetFormatPr defaultRowHeight="15"/>
  <cols>
    <col min="1" max="1" width="24.140625" customWidth="1"/>
    <col min="2" max="2" width="20.140625" customWidth="1"/>
    <col min="3" max="3" width="20.42578125" customWidth="1"/>
    <col min="4" max="4" width="19.42578125" customWidth="1"/>
  </cols>
  <sheetData>
    <row r="1" spans="1:4" ht="18.75">
      <c r="A1" s="13" t="s">
        <v>0</v>
      </c>
      <c r="B1" s="14" t="s">
        <v>1</v>
      </c>
      <c r="C1" s="14" t="s">
        <v>2</v>
      </c>
      <c r="D1" s="14" t="s">
        <v>3</v>
      </c>
    </row>
    <row r="2" spans="1:4">
      <c r="A2" s="8" t="s">
        <v>4</v>
      </c>
      <c r="B2" s="6">
        <v>60922</v>
      </c>
      <c r="C2" s="6">
        <v>130497</v>
      </c>
      <c r="D2" s="6">
        <v>215938</v>
      </c>
    </row>
    <row r="3" spans="1:4" ht="15" customHeight="1">
      <c r="A3" s="4" t="s">
        <v>5</v>
      </c>
      <c r="B3" s="6">
        <v>16621</v>
      </c>
      <c r="C3" s="6">
        <v>32639</v>
      </c>
      <c r="D3" s="6">
        <v>62475</v>
      </c>
    </row>
    <row r="4" spans="1:4" ht="14.25" customHeight="1">
      <c r="A4" s="4" t="s">
        <v>6</v>
      </c>
      <c r="B4" s="6">
        <v>44301</v>
      </c>
      <c r="C4" s="6">
        <v>97858</v>
      </c>
      <c r="D4" s="6">
        <v>153463</v>
      </c>
    </row>
    <row r="5" spans="1:4">
      <c r="A5" s="4" t="s">
        <v>7</v>
      </c>
      <c r="B5" s="6">
        <v>8675</v>
      </c>
      <c r="C5" s="6">
        <v>12914</v>
      </c>
      <c r="D5" s="6">
        <v>18497</v>
      </c>
    </row>
    <row r="6" spans="1:4">
      <c r="A6" s="4" t="s">
        <v>8</v>
      </c>
      <c r="B6" s="6">
        <v>2654</v>
      </c>
      <c r="C6" s="6">
        <v>3491</v>
      </c>
      <c r="D6" s="6">
        <v>4579</v>
      </c>
    </row>
    <row r="7" spans="1:4" ht="24.75" customHeight="1">
      <c r="A7" s="5" t="s">
        <v>9</v>
      </c>
      <c r="B7" s="6">
        <v>11329</v>
      </c>
      <c r="C7" s="6">
        <v>16405</v>
      </c>
      <c r="D7" s="6">
        <v>23076</v>
      </c>
    </row>
    <row r="8" spans="1:4" ht="16.5" customHeight="1">
      <c r="A8" s="8" t="s">
        <v>10</v>
      </c>
      <c r="B8" s="6">
        <v>32972</v>
      </c>
      <c r="C8" s="6">
        <v>81453</v>
      </c>
      <c r="D8" s="6">
        <v>130387</v>
      </c>
    </row>
    <row r="9" spans="1:4" ht="15.75" customHeight="1">
      <c r="A9" s="4" t="s">
        <v>11</v>
      </c>
      <c r="B9" s="2">
        <v>866</v>
      </c>
      <c r="C9" s="6">
        <v>1786</v>
      </c>
      <c r="D9" s="6">
        <v>2300</v>
      </c>
    </row>
    <row r="10" spans="1:4" ht="15" customHeight="1">
      <c r="A10" s="4" t="s">
        <v>12</v>
      </c>
      <c r="B10" s="2">
        <v>-257</v>
      </c>
      <c r="C10" s="2">
        <v>-247</v>
      </c>
      <c r="D10" s="2">
        <v>-259</v>
      </c>
    </row>
    <row r="11" spans="1:4" ht="13.5" customHeight="1">
      <c r="A11" s="4" t="s">
        <v>13</v>
      </c>
      <c r="B11" s="2">
        <v>237</v>
      </c>
      <c r="C11" s="6">
        <v>1034</v>
      </c>
      <c r="D11" s="6">
        <v>9022</v>
      </c>
    </row>
    <row r="12" spans="1:4" ht="24.75" customHeight="1">
      <c r="A12" s="5" t="s">
        <v>14</v>
      </c>
      <c r="B12" s="2">
        <v>846</v>
      </c>
      <c r="C12" s="6">
        <v>2573</v>
      </c>
      <c r="D12" s="6">
        <v>11063</v>
      </c>
    </row>
    <row r="13" spans="1:4" ht="28.5" customHeight="1">
      <c r="A13" s="5" t="s">
        <v>15</v>
      </c>
      <c r="B13" s="6">
        <v>33818</v>
      </c>
      <c r="C13" s="6">
        <v>84026</v>
      </c>
      <c r="D13" s="6">
        <v>141450</v>
      </c>
    </row>
    <row r="14" spans="1:4" ht="15.75" customHeight="1">
      <c r="A14" s="4" t="s">
        <v>16</v>
      </c>
      <c r="B14" s="6">
        <v>4058</v>
      </c>
      <c r="C14" s="6">
        <v>11146</v>
      </c>
      <c r="D14" s="6">
        <v>21383</v>
      </c>
    </row>
    <row r="15" spans="1:4">
      <c r="A15" s="5" t="s">
        <v>17</v>
      </c>
      <c r="B15" s="7">
        <v>29760</v>
      </c>
      <c r="C15" s="7">
        <v>72880</v>
      </c>
      <c r="D15" s="7">
        <v>120067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B134-4789-475F-B5A1-A05DD3275DB8}">
  <dimension ref="A1:K15"/>
  <sheetViews>
    <sheetView workbookViewId="0">
      <selection activeCell="D14" sqref="D14"/>
    </sheetView>
  </sheetViews>
  <sheetFormatPr defaultRowHeight="15"/>
  <cols>
    <col min="1" max="1" width="30" customWidth="1"/>
    <col min="2" max="2" width="22.28515625" customWidth="1"/>
    <col min="3" max="4" width="21.5703125" customWidth="1"/>
  </cols>
  <sheetData>
    <row r="1" spans="1:11" ht="19.5" customHeight="1">
      <c r="A1" s="13" t="s">
        <v>18</v>
      </c>
      <c r="B1" s="14" t="s">
        <v>1</v>
      </c>
      <c r="C1" s="14" t="s">
        <v>2</v>
      </c>
      <c r="D1" s="14" t="s">
        <v>3</v>
      </c>
    </row>
    <row r="2" spans="1:11">
      <c r="A2" s="4" t="s">
        <v>19</v>
      </c>
      <c r="B2" s="17">
        <v>7280</v>
      </c>
      <c r="C2" s="20">
        <v>8589</v>
      </c>
      <c r="D2" s="22">
        <v>10605</v>
      </c>
    </row>
    <row r="3" spans="1:11">
      <c r="A3" s="4" t="s">
        <v>21</v>
      </c>
      <c r="B3" s="17">
        <v>18704</v>
      </c>
      <c r="C3" s="20">
        <v>34621</v>
      </c>
      <c r="D3" s="22">
        <v>51951</v>
      </c>
    </row>
    <row r="4" spans="1:11">
      <c r="A4" s="4" t="s">
        <v>57</v>
      </c>
      <c r="B4" s="17">
        <v>9999</v>
      </c>
      <c r="C4" s="20">
        <v>23065</v>
      </c>
      <c r="D4" s="22">
        <v>38486</v>
      </c>
      <c r="G4" s="4"/>
      <c r="H4" s="16"/>
      <c r="I4" s="6"/>
      <c r="J4" s="6"/>
    </row>
    <row r="5" spans="1:11">
      <c r="A5" s="4" t="s">
        <v>22</v>
      </c>
      <c r="B5" s="17">
        <v>5282</v>
      </c>
      <c r="C5" s="20">
        <v>10080</v>
      </c>
      <c r="D5" s="22">
        <v>21403</v>
      </c>
    </row>
    <row r="6" spans="1:11" ht="33.75" customHeight="1">
      <c r="A6" s="4" t="s">
        <v>23</v>
      </c>
      <c r="B6" s="17">
        <v>3080</v>
      </c>
      <c r="C6" s="20">
        <v>3771</v>
      </c>
      <c r="D6" s="22">
        <v>3180</v>
      </c>
    </row>
    <row r="7" spans="1:11" ht="25.5" customHeight="1">
      <c r="A7" s="5" t="s">
        <v>24</v>
      </c>
      <c r="B7" s="19">
        <v>44345</v>
      </c>
      <c r="C7" s="21">
        <v>80126</v>
      </c>
      <c r="D7" s="19">
        <v>125605</v>
      </c>
      <c r="K7" s="7"/>
    </row>
    <row r="8" spans="1:11">
      <c r="A8" s="4" t="s">
        <v>25</v>
      </c>
      <c r="B8" s="17">
        <v>2699</v>
      </c>
      <c r="C8" s="20">
        <v>6310</v>
      </c>
      <c r="D8" s="22">
        <v>9812</v>
      </c>
    </row>
    <row r="9" spans="1:11" ht="30">
      <c r="A9" s="4" t="s">
        <v>26</v>
      </c>
      <c r="B9" s="17">
        <v>6682</v>
      </c>
      <c r="C9" s="20">
        <v>11737</v>
      </c>
      <c r="D9" s="22">
        <v>21352</v>
      </c>
    </row>
    <row r="10" spans="1:11">
      <c r="A10" s="4" t="s">
        <v>27</v>
      </c>
      <c r="B10" s="17">
        <v>1250</v>
      </c>
      <c r="C10" s="20" t="s">
        <v>20</v>
      </c>
      <c r="D10" s="22">
        <v>999</v>
      </c>
    </row>
    <row r="11" spans="1:11" ht="24" customHeight="1">
      <c r="A11" s="5" t="s">
        <v>28</v>
      </c>
      <c r="B11" s="19">
        <v>10631</v>
      </c>
      <c r="C11" s="21">
        <v>18047</v>
      </c>
      <c r="D11" s="19">
        <v>32163</v>
      </c>
    </row>
    <row r="12" spans="1:11">
      <c r="A12" s="4" t="s">
        <v>29</v>
      </c>
      <c r="B12" s="17">
        <v>8459</v>
      </c>
      <c r="C12" s="20">
        <v>8463</v>
      </c>
      <c r="D12" s="22">
        <v>7489</v>
      </c>
    </row>
    <row r="13" spans="1:11" ht="24" customHeight="1">
      <c r="A13" s="5" t="s">
        <v>36</v>
      </c>
      <c r="B13" s="19">
        <v>9709</v>
      </c>
      <c r="C13" s="21">
        <v>8463</v>
      </c>
      <c r="D13" s="19">
        <v>8488</v>
      </c>
    </row>
    <row r="14" spans="1:11" ht="21.75" customHeight="1">
      <c r="A14" s="5" t="s">
        <v>30</v>
      </c>
      <c r="B14" s="19">
        <v>22750</v>
      </c>
      <c r="C14" s="21">
        <v>32274</v>
      </c>
      <c r="D14" s="19">
        <v>49510</v>
      </c>
    </row>
    <row r="15" spans="1:11" ht="21" customHeight="1">
      <c r="A15" s="5" t="s">
        <v>31</v>
      </c>
      <c r="B15" s="19">
        <v>42978</v>
      </c>
      <c r="C15" s="21">
        <v>79327</v>
      </c>
      <c r="D15" s="19">
        <v>157293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011D-4D55-42BE-BD3A-5C0A99F0A129}">
  <dimension ref="A1:J11"/>
  <sheetViews>
    <sheetView workbookViewId="0">
      <selection activeCell="B16" sqref="B16"/>
    </sheetView>
  </sheetViews>
  <sheetFormatPr defaultRowHeight="15"/>
  <cols>
    <col min="1" max="1" width="33.140625" style="12" customWidth="1"/>
    <col min="2" max="2" width="20.7109375" customWidth="1"/>
    <col min="3" max="3" width="24" customWidth="1"/>
    <col min="4" max="4" width="18.7109375" customWidth="1"/>
  </cols>
  <sheetData>
    <row r="1" spans="1:10" ht="18.75">
      <c r="A1" s="13" t="s">
        <v>18</v>
      </c>
      <c r="B1" s="14" t="s">
        <v>1</v>
      </c>
      <c r="C1" s="14" t="s">
        <v>2</v>
      </c>
      <c r="D1" s="14" t="s">
        <v>3</v>
      </c>
    </row>
    <row r="2" spans="1:10" ht="18" customHeight="1">
      <c r="A2" s="8" t="s">
        <v>17</v>
      </c>
      <c r="B2" s="22">
        <v>29760</v>
      </c>
      <c r="C2" s="22">
        <v>72880</v>
      </c>
      <c r="D2" s="22">
        <v>120067</v>
      </c>
    </row>
    <row r="3" spans="1:10" ht="19.5" customHeight="1">
      <c r="A3" s="8" t="s">
        <v>32</v>
      </c>
      <c r="B3" s="22">
        <v>1508</v>
      </c>
      <c r="C3" s="22">
        <v>1864</v>
      </c>
      <c r="D3" s="22">
        <v>2843</v>
      </c>
    </row>
    <row r="4" spans="1:10" ht="17.25" customHeight="1">
      <c r="A4" s="8" t="s">
        <v>33</v>
      </c>
      <c r="B4" s="22">
        <v>3549</v>
      </c>
      <c r="C4" s="22">
        <v>4737</v>
      </c>
      <c r="D4" s="22">
        <v>6386</v>
      </c>
    </row>
    <row r="5" spans="1:10" ht="27.75" customHeight="1">
      <c r="A5" s="5" t="s">
        <v>34</v>
      </c>
      <c r="B5" s="19">
        <v>28090</v>
      </c>
      <c r="C5" s="19">
        <v>64089</v>
      </c>
      <c r="D5" s="19">
        <v>102718</v>
      </c>
    </row>
    <row r="6" spans="1:10" ht="27" customHeight="1">
      <c r="A6" s="5" t="s">
        <v>35</v>
      </c>
      <c r="B6" s="19">
        <v>1089</v>
      </c>
      <c r="C6" s="19">
        <v>3236</v>
      </c>
      <c r="D6" s="19">
        <v>6042</v>
      </c>
    </row>
    <row r="11" spans="1:10">
      <c r="J11" t="s">
        <v>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59AE-A9C1-45E9-89B6-BF6658C6B718}">
  <dimension ref="A1:D18"/>
  <sheetViews>
    <sheetView topLeftCell="C1" workbookViewId="0">
      <selection activeCell="B4" sqref="B4"/>
    </sheetView>
  </sheetViews>
  <sheetFormatPr defaultRowHeight="15"/>
  <cols>
    <col min="1" max="1" width="24.140625" style="10" customWidth="1"/>
    <col min="2" max="2" width="15.28515625" customWidth="1"/>
    <col min="3" max="3" width="17.28515625" customWidth="1"/>
    <col min="4" max="4" width="16.85546875" customWidth="1"/>
  </cols>
  <sheetData>
    <row r="1" spans="1:4" ht="18.75">
      <c r="A1" s="9" t="s">
        <v>38</v>
      </c>
    </row>
    <row r="3" spans="1:4" ht="15.75">
      <c r="A3" s="15" t="s">
        <v>18</v>
      </c>
      <c r="B3" s="15" t="s">
        <v>1</v>
      </c>
      <c r="C3" s="15" t="s">
        <v>2</v>
      </c>
      <c r="D3" s="15" t="s">
        <v>3</v>
      </c>
    </row>
    <row r="4" spans="1:4">
      <c r="A4" s="10" t="s">
        <v>4</v>
      </c>
      <c r="B4" s="18">
        <f>'Raw Income Statement'!B2</f>
        <v>60922</v>
      </c>
      <c r="C4" s="18">
        <f>'Raw Income Statement'!C2</f>
        <v>130497</v>
      </c>
      <c r="D4" s="18">
        <f>'Raw Income Statement'!D2</f>
        <v>215938</v>
      </c>
    </row>
    <row r="5" spans="1:4">
      <c r="A5" s="10" t="s">
        <v>39</v>
      </c>
      <c r="B5" s="18">
        <f>'Raw Income Statement'!B4</f>
        <v>44301</v>
      </c>
      <c r="C5" s="18">
        <f>'Raw Income Statement'!C4</f>
        <v>97858</v>
      </c>
      <c r="D5" s="18">
        <f>'Raw Income Statement'!D4</f>
        <v>153463</v>
      </c>
    </row>
    <row r="6" spans="1:4">
      <c r="A6" s="10" t="s">
        <v>40</v>
      </c>
      <c r="B6" s="18">
        <f>'Raw Income Statement'!B7</f>
        <v>11329</v>
      </c>
      <c r="C6" s="18">
        <f>'Raw Income Statement'!C7</f>
        <v>16405</v>
      </c>
      <c r="D6" s="18">
        <f>'Raw Income Statement'!D7</f>
        <v>23076</v>
      </c>
    </row>
    <row r="7" spans="1:4">
      <c r="A7" s="10" t="s">
        <v>41</v>
      </c>
      <c r="B7" s="18">
        <f>'Raw Income Statement'!B8</f>
        <v>32972</v>
      </c>
      <c r="C7" s="18">
        <f>'Raw Income Statement'!C8</f>
        <v>81453</v>
      </c>
      <c r="D7" s="18">
        <f>'Raw Income Statement'!D8</f>
        <v>130387</v>
      </c>
    </row>
    <row r="8" spans="1:4">
      <c r="A8" s="10" t="s">
        <v>42</v>
      </c>
      <c r="B8" s="18">
        <f>'Raw Income Statement'!B13</f>
        <v>33818</v>
      </c>
      <c r="C8" s="18">
        <f>'Raw Income Statement'!C13</f>
        <v>84026</v>
      </c>
      <c r="D8" s="18">
        <f>'Raw Income Statement'!D13</f>
        <v>141450</v>
      </c>
    </row>
    <row r="9" spans="1:4">
      <c r="A9" s="10" t="s">
        <v>43</v>
      </c>
      <c r="B9" s="18">
        <f>'Raw Income Statement'!B15</f>
        <v>29760</v>
      </c>
      <c r="C9" s="18">
        <f>'Raw Income Statement'!C15</f>
        <v>72880</v>
      </c>
      <c r="D9" s="18">
        <f>'Raw Income Statement'!D15</f>
        <v>120067</v>
      </c>
    </row>
    <row r="11" spans="1:4">
      <c r="A11" s="10" t="s">
        <v>44</v>
      </c>
      <c r="B11" t="s">
        <v>45</v>
      </c>
      <c r="C11" s="11">
        <f xml:space="preserve"> (C4 - B4) / B4</f>
        <v>1.1420340763599357</v>
      </c>
      <c r="D11" s="11">
        <f xml:space="preserve"> (D4 - C4) / C4</f>
        <v>0.65473535790094795</v>
      </c>
    </row>
    <row r="12" spans="1:4">
      <c r="A12" s="10" t="s">
        <v>46</v>
      </c>
      <c r="B12" t="s">
        <v>45</v>
      </c>
      <c r="C12" s="11">
        <f>(C5-B5)/B5</f>
        <v>1.208934335568046</v>
      </c>
      <c r="D12" s="11">
        <f>(D5-C5)/C5</f>
        <v>0.56822130025138462</v>
      </c>
    </row>
    <row r="13" spans="1:4">
      <c r="A13" s="10" t="s">
        <v>47</v>
      </c>
      <c r="B13" t="s">
        <v>45</v>
      </c>
      <c r="C13" s="11">
        <f>(C7-B7)/B7</f>
        <v>1.470368797767803</v>
      </c>
      <c r="D13" s="11">
        <f>(D7-C7)/C7</f>
        <v>0.60076363055995485</v>
      </c>
    </row>
    <row r="14" spans="1:4">
      <c r="A14" s="10" t="s">
        <v>48</v>
      </c>
      <c r="B14" t="s">
        <v>49</v>
      </c>
      <c r="C14" s="11">
        <f>(C9-B9)/B9</f>
        <v>1.4489247311827957</v>
      </c>
      <c r="D14" s="11">
        <f>(D9-C9)/C9</f>
        <v>0.6474615806805708</v>
      </c>
    </row>
    <row r="16" spans="1:4">
      <c r="A16" s="10" t="s">
        <v>50</v>
      </c>
      <c r="B16" s="11">
        <f>B5/B4</f>
        <v>0.72717573290436954</v>
      </c>
      <c r="C16" s="11">
        <f>C5/C4</f>
        <v>0.74988697058169917</v>
      </c>
      <c r="D16" s="11">
        <f>D5/D4</f>
        <v>0.71068084357547079</v>
      </c>
    </row>
    <row r="17" spans="1:4">
      <c r="A17" s="10" t="s">
        <v>51</v>
      </c>
      <c r="B17" s="11">
        <f>B7/B4</f>
        <v>0.54121663766783756</v>
      </c>
      <c r="C17" s="11">
        <f>C7/C4</f>
        <v>0.62417526839697468</v>
      </c>
      <c r="D17" s="11">
        <f>D7/D4</f>
        <v>0.60381683631412719</v>
      </c>
    </row>
    <row r="18" spans="1:4">
      <c r="A18" s="10" t="s">
        <v>52</v>
      </c>
      <c r="B18" s="11">
        <f>B9/B4</f>
        <v>0.4884934834706674</v>
      </c>
      <c r="C18" s="11">
        <f>C9/C4</f>
        <v>0.55848027157712443</v>
      </c>
      <c r="D18" s="11">
        <f>D9/D4</f>
        <v>0.55602534060702613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10F0-1D27-492B-A35B-21BE9DD330A6}">
  <dimension ref="A1:D29"/>
  <sheetViews>
    <sheetView topLeftCell="A10" zoomScale="98" zoomScaleNormal="98" workbookViewId="0">
      <selection activeCell="G52" sqref="G52"/>
    </sheetView>
  </sheetViews>
  <sheetFormatPr defaultRowHeight="15"/>
  <cols>
    <col min="1" max="1" width="36.140625" customWidth="1"/>
    <col min="2" max="2" width="18" customWidth="1"/>
    <col min="3" max="3" width="17" customWidth="1"/>
    <col min="4" max="4" width="18.5703125" customWidth="1"/>
  </cols>
  <sheetData>
    <row r="1" spans="1:4" ht="18.75">
      <c r="A1" s="9" t="s">
        <v>53</v>
      </c>
    </row>
    <row r="3" spans="1:4" ht="15.75">
      <c r="A3" s="15" t="s">
        <v>54</v>
      </c>
      <c r="B3" s="15" t="s">
        <v>1</v>
      </c>
      <c r="C3" s="15" t="s">
        <v>2</v>
      </c>
      <c r="D3" s="15" t="s">
        <v>3</v>
      </c>
    </row>
    <row r="4" spans="1:4">
      <c r="A4" t="s">
        <v>55</v>
      </c>
      <c r="B4" s="17">
        <v>7280</v>
      </c>
      <c r="C4" s="17">
        <f>'Raw Balance Sheet'!C2</f>
        <v>8589</v>
      </c>
      <c r="D4" s="17">
        <f>'Raw Balance Sheet'!D2</f>
        <v>10605</v>
      </c>
    </row>
    <row r="5" spans="1:4">
      <c r="A5" t="s">
        <v>56</v>
      </c>
      <c r="B5" s="18">
        <f>'Raw Balance Sheet'!B3</f>
        <v>18704</v>
      </c>
      <c r="C5" s="18">
        <f>'Raw Balance Sheet'!C3</f>
        <v>34621</v>
      </c>
      <c r="D5" s="18">
        <f>'Raw Balance Sheet'!D3</f>
        <v>51951</v>
      </c>
    </row>
    <row r="6" spans="1:4">
      <c r="A6" t="str">
        <f>'Raw Balance Sheet'!A4</f>
        <v>Accounts receivable</v>
      </c>
      <c r="B6" s="18">
        <f>'Raw Balance Sheet'!B4</f>
        <v>9999</v>
      </c>
      <c r="C6" s="18">
        <f>'Raw Balance Sheet'!C4</f>
        <v>23065</v>
      </c>
      <c r="D6" s="18">
        <f>'Raw Balance Sheet'!D4</f>
        <v>38486</v>
      </c>
    </row>
    <row r="7" spans="1:4">
      <c r="A7" t="str">
        <f>'Raw Balance Sheet'!A5</f>
        <v>Inventories</v>
      </c>
      <c r="B7" s="18">
        <f>'Raw Balance Sheet'!B5</f>
        <v>5282</v>
      </c>
      <c r="C7" s="18">
        <f>'Raw Balance Sheet'!C5</f>
        <v>10080</v>
      </c>
      <c r="D7" s="18">
        <f>'Raw Balance Sheet'!D5</f>
        <v>21403</v>
      </c>
    </row>
    <row r="8" spans="1:4">
      <c r="A8" s="10" t="str">
        <f>'Raw Balance Sheet'!A7</f>
        <v>Total current assets</v>
      </c>
      <c r="B8" s="18">
        <f>'Raw Balance Sheet'!B7</f>
        <v>44345</v>
      </c>
      <c r="C8" s="18">
        <f>'Raw Balance Sheet'!C7</f>
        <v>80126</v>
      </c>
      <c r="D8" s="18">
        <f>'Raw Balance Sheet'!D7</f>
        <v>125605</v>
      </c>
    </row>
    <row r="9" spans="1:4">
      <c r="B9" s="18"/>
      <c r="C9" s="18"/>
      <c r="D9" s="18"/>
    </row>
    <row r="10" spans="1:4">
      <c r="A10" t="str">
        <f>'Raw Balance Sheet'!A8</f>
        <v>Accounts payable</v>
      </c>
      <c r="B10" s="18">
        <f>'Raw Balance Sheet'!B8</f>
        <v>2699</v>
      </c>
      <c r="C10" s="18">
        <f>'Raw Balance Sheet'!C8</f>
        <v>6310</v>
      </c>
      <c r="D10" s="18">
        <f>'Raw Balance Sheet'!D8</f>
        <v>9812</v>
      </c>
    </row>
    <row r="11" spans="1:4">
      <c r="A11" t="str">
        <f>'Raw Balance Sheet'!A9</f>
        <v>Accrued &amp; other current liabilities</v>
      </c>
      <c r="B11" s="18">
        <f>'Raw Balance Sheet'!B9</f>
        <v>6682</v>
      </c>
      <c r="C11" s="18">
        <f>'Raw Balance Sheet'!C9</f>
        <v>11737</v>
      </c>
      <c r="D11" s="18">
        <f>'Raw Balance Sheet'!D9</f>
        <v>21352</v>
      </c>
    </row>
    <row r="12" spans="1:4">
      <c r="A12" t="str">
        <f>'Raw Balance Sheet'!A10</f>
        <v>Short-term debt</v>
      </c>
      <c r="B12" s="18">
        <f>'Raw Balance Sheet'!B10</f>
        <v>1250</v>
      </c>
      <c r="C12" s="18" t="str">
        <f>'Raw Balance Sheet'!C10</f>
        <v>—</v>
      </c>
      <c r="D12" s="18">
        <f>'Raw Balance Sheet'!D10</f>
        <v>999</v>
      </c>
    </row>
    <row r="13" spans="1:4">
      <c r="A13" s="10" t="str">
        <f>'Raw Balance Sheet'!A11</f>
        <v>Total current liabilities</v>
      </c>
      <c r="B13" s="18">
        <f>'Raw Balance Sheet'!B11</f>
        <v>10631</v>
      </c>
      <c r="C13" s="18">
        <f>'Raw Balance Sheet'!C11</f>
        <v>18047</v>
      </c>
      <c r="D13" s="18">
        <f>'Raw Balance Sheet'!D11</f>
        <v>32163</v>
      </c>
    </row>
    <row r="14" spans="1:4">
      <c r="D14" s="18"/>
    </row>
    <row r="15" spans="1:4">
      <c r="A15" t="str">
        <f>'Raw Balance Sheet'!A12</f>
        <v>Long-term debt</v>
      </c>
      <c r="B15" s="18">
        <f>'Raw Balance Sheet'!B12</f>
        <v>8459</v>
      </c>
      <c r="C15" s="18">
        <f>'Raw Balance Sheet'!C12</f>
        <v>8463</v>
      </c>
      <c r="D15" s="18">
        <f>'Raw Balance Sheet'!D12</f>
        <v>7489</v>
      </c>
    </row>
    <row r="16" spans="1:4">
      <c r="A16" s="10" t="str">
        <f>'Raw Balance Sheet'!A13</f>
        <v>Total Debt</v>
      </c>
      <c r="B16" s="18">
        <f>'Raw Balance Sheet'!B13</f>
        <v>9709</v>
      </c>
      <c r="C16" s="18">
        <f>'Raw Balance Sheet'!C13</f>
        <v>8463</v>
      </c>
      <c r="D16" s="18">
        <f>'Raw Balance Sheet'!D13</f>
        <v>8488</v>
      </c>
    </row>
    <row r="17" spans="1:4">
      <c r="A17" s="10" t="str">
        <f>'Raw Balance Sheet'!A14</f>
        <v>Total liabilities</v>
      </c>
      <c r="B17" s="18">
        <f>'Raw Balance Sheet'!B14</f>
        <v>22750</v>
      </c>
      <c r="C17" s="18">
        <f>'Raw Balance Sheet'!C14</f>
        <v>32274</v>
      </c>
      <c r="D17" s="18">
        <f>'Raw Balance Sheet'!D14</f>
        <v>49510</v>
      </c>
    </row>
    <row r="18" spans="1:4">
      <c r="A18" s="10" t="str">
        <f>'Raw Balance Sheet'!A15</f>
        <v>Total shareholders' equity</v>
      </c>
      <c r="B18" s="18">
        <f>'Raw Balance Sheet'!B15</f>
        <v>42978</v>
      </c>
      <c r="C18" s="18">
        <f>'Raw Balance Sheet'!C15</f>
        <v>79327</v>
      </c>
      <c r="D18" s="18">
        <f>'Raw Balance Sheet'!D15</f>
        <v>157293</v>
      </c>
    </row>
    <row r="19" spans="1:4">
      <c r="A19" s="10"/>
    </row>
    <row r="20" spans="1:4">
      <c r="A20" t="s">
        <v>58</v>
      </c>
      <c r="B20" t="s">
        <v>45</v>
      </c>
      <c r="C20" s="11">
        <f>(C8-B8)/B8</f>
        <v>0.8068778892772579</v>
      </c>
      <c r="D20" s="11">
        <f>(D8-C8)/C8</f>
        <v>0.56759354017422559</v>
      </c>
    </row>
    <row r="21" spans="1:4">
      <c r="A21" t="s">
        <v>59</v>
      </c>
      <c r="B21" t="s">
        <v>45</v>
      </c>
      <c r="C21" s="11">
        <f>(C6-B6)/B6</f>
        <v>1.3067306730673067</v>
      </c>
      <c r="D21" s="11">
        <f>(D6-C6)/C6</f>
        <v>0.66858877086494684</v>
      </c>
    </row>
    <row r="22" spans="1:4">
      <c r="A22" t="s">
        <v>60</v>
      </c>
      <c r="B22" t="s">
        <v>45</v>
      </c>
      <c r="C22" s="11">
        <f>(C7-B7)/B7</f>
        <v>0.9083680424081787</v>
      </c>
      <c r="D22" s="11">
        <f>(D7-C7)/C7</f>
        <v>1.123313492063492</v>
      </c>
    </row>
    <row r="23" spans="1:4">
      <c r="A23" t="s">
        <v>61</v>
      </c>
      <c r="B23" t="s">
        <v>45</v>
      </c>
      <c r="C23" s="11">
        <f>(C16-B16)/B16</f>
        <v>-0.12833453496755587</v>
      </c>
      <c r="D23" s="11">
        <f>(D16-B16)/B16</f>
        <v>-0.12575960449067874</v>
      </c>
    </row>
    <row r="25" spans="1:4">
      <c r="A25" t="s">
        <v>62</v>
      </c>
      <c r="B25" s="24">
        <f>B8/B13</f>
        <v>4.1712915059730973</v>
      </c>
      <c r="C25" s="24">
        <f>C8/C13</f>
        <v>4.4398514988640772</v>
      </c>
      <c r="D25" s="24">
        <f>D8/D13</f>
        <v>3.9052638124553058</v>
      </c>
    </row>
    <row r="26" spans="1:4">
      <c r="A26" t="s">
        <v>63</v>
      </c>
      <c r="B26" s="24">
        <f>(B8-B7)/B13</f>
        <v>3.6744426676700215</v>
      </c>
      <c r="C26" s="24">
        <f>(C8-C7)/C13</f>
        <v>3.8813099130049316</v>
      </c>
      <c r="D26" s="24">
        <f>(D8-D7)/D13</f>
        <v>3.2398097192426079</v>
      </c>
    </row>
    <row r="27" spans="1:4">
      <c r="A27" t="s">
        <v>64</v>
      </c>
      <c r="B27" s="24">
        <f>B16/B18</f>
        <v>0.22590627763041557</v>
      </c>
      <c r="C27" s="24">
        <f>C16/C18</f>
        <v>0.10668498745698186</v>
      </c>
      <c r="D27" s="24">
        <f>D16/D18</f>
        <v>5.3962986274023635E-2</v>
      </c>
    </row>
    <row r="28" spans="1:4">
      <c r="A28" t="s">
        <v>65</v>
      </c>
      <c r="B28" s="11">
        <f>B16/ (B16 + B18)</f>
        <v>0.1842769563649477</v>
      </c>
      <c r="C28" s="11">
        <f t="shared" ref="C28:D28" si="0">C16/ (C16 + C18)</f>
        <v>9.6400501196035993E-2</v>
      </c>
      <c r="D28" s="11">
        <f t="shared" si="0"/>
        <v>5.1200077210295514E-2</v>
      </c>
    </row>
    <row r="29" spans="1:4">
      <c r="A29" t="s">
        <v>66</v>
      </c>
      <c r="B29" t="s">
        <v>49</v>
      </c>
      <c r="C29" s="11">
        <f>(C18-B18)/B18</f>
        <v>0.84575829494159804</v>
      </c>
      <c r="D29" s="11">
        <f>(D18-C18)/C18</f>
        <v>0.98284316815207939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0E79-98DD-4328-9317-5145DEA3A110}">
  <dimension ref="A1:D17"/>
  <sheetViews>
    <sheetView workbookViewId="0">
      <selection activeCell="I17" sqref="I17"/>
    </sheetView>
  </sheetViews>
  <sheetFormatPr defaultRowHeight="15"/>
  <cols>
    <col min="1" max="1" width="30.7109375" customWidth="1"/>
    <col min="2" max="2" width="19.140625" customWidth="1"/>
    <col min="3" max="4" width="18.140625" customWidth="1"/>
  </cols>
  <sheetData>
    <row r="1" spans="1:4" ht="18.75">
      <c r="A1" s="9" t="s">
        <v>67</v>
      </c>
    </row>
    <row r="3" spans="1:4" ht="15.75">
      <c r="A3" s="15" t="s">
        <v>78</v>
      </c>
      <c r="B3" s="15" t="s">
        <v>1</v>
      </c>
      <c r="C3" s="15" t="s">
        <v>2</v>
      </c>
      <c r="D3" s="15" t="s">
        <v>3</v>
      </c>
    </row>
    <row r="4" spans="1:4">
      <c r="A4" t="s">
        <v>43</v>
      </c>
      <c r="B4" s="18">
        <f>'Raw Cash Flow Statement'!B2</f>
        <v>29760</v>
      </c>
      <c r="C4" s="18">
        <f>'Raw Cash Flow Statement'!C2</f>
        <v>72880</v>
      </c>
      <c r="D4" s="18">
        <f>'Raw Cash Flow Statement'!D2</f>
        <v>120067</v>
      </c>
    </row>
    <row r="5" spans="1:4">
      <c r="A5" t="s">
        <v>68</v>
      </c>
      <c r="B5" s="18">
        <f>'Raw Cash Flow Statement'!B3</f>
        <v>1508</v>
      </c>
      <c r="C5" s="18">
        <f>'Raw Cash Flow Statement'!C3</f>
        <v>1864</v>
      </c>
      <c r="D5" s="18">
        <f>'Raw Cash Flow Statement'!D3</f>
        <v>2843</v>
      </c>
    </row>
    <row r="6" spans="1:4">
      <c r="A6" t="s">
        <v>69</v>
      </c>
      <c r="B6" s="18">
        <f>'Raw Cash Flow Statement'!B4</f>
        <v>3549</v>
      </c>
      <c r="C6" s="18">
        <f>'Raw Cash Flow Statement'!C4</f>
        <v>4737</v>
      </c>
      <c r="D6" s="18">
        <f>'Raw Cash Flow Statement'!D4</f>
        <v>6386</v>
      </c>
    </row>
    <row r="7" spans="1:4">
      <c r="A7" t="s">
        <v>70</v>
      </c>
      <c r="B7" s="18">
        <f>'Raw Cash Flow Statement'!B5</f>
        <v>28090</v>
      </c>
      <c r="C7" s="18">
        <f>'Raw Cash Flow Statement'!C5</f>
        <v>64089</v>
      </c>
      <c r="D7" s="18">
        <f>'Raw Cash Flow Statement'!D5</f>
        <v>102718</v>
      </c>
    </row>
    <row r="8" spans="1:4">
      <c r="A8" t="s">
        <v>71</v>
      </c>
      <c r="B8" s="18">
        <f>'Raw Cash Flow Statement'!B6</f>
        <v>1089</v>
      </c>
      <c r="C8" s="18">
        <f>'Raw Cash Flow Statement'!C6</f>
        <v>3236</v>
      </c>
      <c r="D8" s="18">
        <f>'Raw Cash Flow Statement'!D6</f>
        <v>6042</v>
      </c>
    </row>
    <row r="10" spans="1:4">
      <c r="A10" s="10" t="s">
        <v>72</v>
      </c>
      <c r="B10" s="23">
        <f>B7+B8</f>
        <v>29179</v>
      </c>
      <c r="C10" s="23">
        <f t="shared" ref="C10:D10" si="0">C7+C8</f>
        <v>67325</v>
      </c>
      <c r="D10" s="23">
        <f t="shared" si="0"/>
        <v>108760</v>
      </c>
    </row>
    <row r="12" spans="1:4">
      <c r="A12" t="s">
        <v>73</v>
      </c>
      <c r="B12" t="s">
        <v>45</v>
      </c>
      <c r="C12" s="11">
        <f>(C7-B7)/B7</f>
        <v>1.2815592737629049</v>
      </c>
      <c r="D12" s="11">
        <f>(D7-C7)/C7</f>
        <v>0.60273993977125562</v>
      </c>
    </row>
    <row r="13" spans="1:4">
      <c r="A13" t="s">
        <v>74</v>
      </c>
      <c r="B13" t="s">
        <v>45</v>
      </c>
      <c r="C13" s="11">
        <f>(C10-B10)/B10</f>
        <v>1.307310051749546</v>
      </c>
      <c r="D13" s="11">
        <f>(D10-C10)/C10</f>
        <v>0.6154474563683624</v>
      </c>
    </row>
    <row r="15" spans="1:4">
      <c r="A15" t="s">
        <v>75</v>
      </c>
      <c r="B15" s="11">
        <f>'Income Analysis'!B7</f>
        <v>32972</v>
      </c>
      <c r="C15" s="11">
        <f>'Income Analysis'!C7</f>
        <v>81453</v>
      </c>
      <c r="D15" s="11">
        <f>'Income Analysis'!D7</f>
        <v>130387</v>
      </c>
    </row>
    <row r="16" spans="1:4">
      <c r="A16" t="s">
        <v>76</v>
      </c>
      <c r="B16" s="11">
        <f>B10/'Income Analysis'!B4</f>
        <v>0.47895669872952301</v>
      </c>
      <c r="C16" s="11">
        <f>C10/'Income Analysis'!C4</f>
        <v>0.51591224319333007</v>
      </c>
      <c r="D16" s="11">
        <f>D10/'Income Analysis'!D4</f>
        <v>0.50366308847910046</v>
      </c>
    </row>
    <row r="17" spans="1:4">
      <c r="A17" t="s">
        <v>77</v>
      </c>
      <c r="B17" s="24">
        <f>B7/B4</f>
        <v>0.9438844086021505</v>
      </c>
      <c r="C17" s="24">
        <f>C7/C4</f>
        <v>0.87937705817782652</v>
      </c>
      <c r="D17" s="24">
        <f>D7/D4</f>
        <v>0.85550567599756799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52F9-966B-44F5-8702-E4A6B71C7018}">
  <dimension ref="A1:T46"/>
  <sheetViews>
    <sheetView tabSelected="1" topLeftCell="A31" workbookViewId="0">
      <selection activeCell="T14" sqref="T14"/>
    </sheetView>
  </sheetViews>
  <sheetFormatPr defaultRowHeight="15"/>
  <cols>
    <col min="13" max="13" width="10.7109375" customWidth="1"/>
    <col min="14" max="14" width="12.7109375" customWidth="1"/>
  </cols>
  <sheetData>
    <row r="1" spans="1:19" ht="23.25">
      <c r="A1" s="29" t="s">
        <v>79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9">
      <c r="A2" s="30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Q2" s="3"/>
      <c r="R2" s="3"/>
      <c r="S2" s="3"/>
    </row>
    <row r="3" spans="1:19">
      <c r="O3" s="1"/>
      <c r="P3" s="4"/>
      <c r="Q3" s="25"/>
      <c r="R3" s="25"/>
      <c r="S3" s="25"/>
    </row>
    <row r="4" spans="1:19" ht="15.75">
      <c r="A4" s="31" t="s">
        <v>81</v>
      </c>
      <c r="B4" s="31"/>
      <c r="C4" s="31"/>
      <c r="E4" s="32" t="s">
        <v>82</v>
      </c>
      <c r="F4" s="32"/>
      <c r="G4" s="32"/>
      <c r="I4" s="32" t="s">
        <v>83</v>
      </c>
      <c r="J4" s="32"/>
      <c r="K4" s="32"/>
      <c r="M4" s="32" t="s">
        <v>84</v>
      </c>
      <c r="N4" s="32"/>
      <c r="P4" s="4"/>
      <c r="Q4" s="25"/>
      <c r="R4" s="25"/>
      <c r="S4" s="25"/>
    </row>
    <row r="5" spans="1:19">
      <c r="A5" s="28">
        <f>'Income Analysis'!D4/1000</f>
        <v>215.93799999999999</v>
      </c>
      <c r="E5" s="28">
        <f>'Income Analysis'!D9/1000</f>
        <v>120.06699999999999</v>
      </c>
      <c r="I5" s="28">
        <f>'Cash Flow Analysis'!D7/1000</f>
        <v>102.718</v>
      </c>
      <c r="M5" s="28">
        <f>'Cash Flow Analysis'!D10/1000</f>
        <v>108.76</v>
      </c>
    </row>
    <row r="7" spans="1:19">
      <c r="P7" s="1"/>
      <c r="Q7" s="3"/>
      <c r="R7" s="3"/>
      <c r="S7" s="3"/>
    </row>
    <row r="8" spans="1:19">
      <c r="P8" s="4"/>
      <c r="Q8" s="26"/>
      <c r="R8" s="26"/>
      <c r="S8" s="26"/>
    </row>
    <row r="9" spans="1:19">
      <c r="P9" s="4"/>
      <c r="Q9" s="26"/>
      <c r="R9" s="26"/>
      <c r="S9" s="26"/>
    </row>
    <row r="10" spans="1:19">
      <c r="P10" s="4"/>
      <c r="Q10" s="26"/>
      <c r="R10" s="26"/>
      <c r="S10" s="26"/>
    </row>
    <row r="14" spans="1:19">
      <c r="P14" s="1"/>
      <c r="Q14" s="3"/>
      <c r="R14" s="3"/>
      <c r="S14" s="3"/>
    </row>
    <row r="15" spans="1:19">
      <c r="P15" s="4"/>
      <c r="Q15" s="25"/>
      <c r="R15" s="25"/>
      <c r="S15" s="25"/>
    </row>
    <row r="16" spans="1:19">
      <c r="P16" s="4"/>
      <c r="Q16" s="25"/>
      <c r="R16" s="25"/>
      <c r="S16" s="25"/>
    </row>
    <row r="21" spans="1:20">
      <c r="H21" s="29" t="s">
        <v>95</v>
      </c>
      <c r="I21" s="29"/>
      <c r="J21" s="29"/>
      <c r="K21" s="29"/>
      <c r="L21" s="3"/>
      <c r="M21" s="3"/>
      <c r="N21" s="3"/>
    </row>
    <row r="22" spans="1:20">
      <c r="H22" s="1" t="s">
        <v>85</v>
      </c>
      <c r="I22" s="3" t="s">
        <v>1</v>
      </c>
      <c r="J22" s="3" t="s">
        <v>2</v>
      </c>
      <c r="K22" s="3" t="s">
        <v>3</v>
      </c>
      <c r="L22" s="2"/>
      <c r="M22" s="2"/>
      <c r="N22" s="2"/>
    </row>
    <row r="23" spans="1:20" ht="30">
      <c r="H23" s="4" t="s">
        <v>62</v>
      </c>
      <c r="I23" s="2" t="s">
        <v>86</v>
      </c>
      <c r="J23" s="2" t="s">
        <v>87</v>
      </c>
      <c r="K23" s="2" t="s">
        <v>88</v>
      </c>
      <c r="L23" s="2"/>
      <c r="M23" s="2"/>
      <c r="N23" s="2"/>
    </row>
    <row r="24" spans="1:20" ht="30">
      <c r="H24" s="4" t="s">
        <v>63</v>
      </c>
      <c r="I24" s="2" t="s">
        <v>89</v>
      </c>
      <c r="J24" s="2" t="s">
        <v>90</v>
      </c>
      <c r="K24" s="2" t="s">
        <v>91</v>
      </c>
      <c r="L24" s="2"/>
      <c r="M24" s="2"/>
      <c r="N24" s="2"/>
    </row>
    <row r="25" spans="1:20" ht="30">
      <c r="H25" s="4" t="s">
        <v>64</v>
      </c>
      <c r="I25" s="2" t="s">
        <v>92</v>
      </c>
      <c r="J25" s="2" t="s">
        <v>93</v>
      </c>
      <c r="K25" s="2" t="s">
        <v>94</v>
      </c>
      <c r="L25" s="27"/>
      <c r="M25" s="27"/>
      <c r="N25" s="27"/>
    </row>
    <row r="26" spans="1:20" ht="30">
      <c r="H26" s="4" t="s">
        <v>65</v>
      </c>
      <c r="I26" s="27">
        <v>0.18429999999999999</v>
      </c>
      <c r="J26" s="27">
        <v>9.64E-2</v>
      </c>
      <c r="K26" s="27">
        <v>5.1200000000000002E-2</v>
      </c>
    </row>
    <row r="29" spans="1:20">
      <c r="Q29" s="1"/>
      <c r="R29" s="3"/>
      <c r="S29" s="3"/>
      <c r="T29" s="3"/>
    </row>
    <row r="30" spans="1:20">
      <c r="Q30" s="4"/>
      <c r="R30" s="2"/>
      <c r="S30" s="2"/>
      <c r="T30" s="2"/>
    </row>
    <row r="31" spans="1:20">
      <c r="Q31" s="4"/>
      <c r="R31" s="2"/>
      <c r="S31" s="2"/>
      <c r="T31" s="2"/>
    </row>
    <row r="32" spans="1:20" ht="18.75">
      <c r="A32" s="9" t="s">
        <v>96</v>
      </c>
      <c r="Q32" s="4"/>
      <c r="R32" s="2"/>
      <c r="S32" s="2"/>
      <c r="T32" s="2"/>
    </row>
    <row r="33" spans="1:20">
      <c r="A33" s="10" t="s">
        <v>97</v>
      </c>
      <c r="Q33" s="4"/>
      <c r="R33" s="27"/>
      <c r="S33" s="27"/>
      <c r="T33" s="27"/>
    </row>
    <row r="34" spans="1:20">
      <c r="A34" t="s">
        <v>98</v>
      </c>
    </row>
    <row r="36" spans="1:20">
      <c r="A36" s="10" t="s">
        <v>99</v>
      </c>
    </row>
    <row r="37" spans="1:20">
      <c r="A37" t="s">
        <v>100</v>
      </c>
    </row>
    <row r="39" spans="1:20">
      <c r="A39" s="10" t="s">
        <v>101</v>
      </c>
    </row>
    <row r="40" spans="1:20">
      <c r="A40" t="s">
        <v>102</v>
      </c>
    </row>
    <row r="42" spans="1:20">
      <c r="A42" s="10" t="s">
        <v>103</v>
      </c>
    </row>
    <row r="43" spans="1:20">
      <c r="A43" t="s">
        <v>104</v>
      </c>
    </row>
    <row r="45" spans="1:20">
      <c r="A45" s="10" t="s">
        <v>105</v>
      </c>
    </row>
    <row r="46" spans="1:20">
      <c r="A46" t="s">
        <v>106</v>
      </c>
    </row>
  </sheetData>
  <mergeCells count="7">
    <mergeCell ref="H21:K21"/>
    <mergeCell ref="A1:N1"/>
    <mergeCell ref="A2:N2"/>
    <mergeCell ref="A4:C4"/>
    <mergeCell ref="E4:G4"/>
    <mergeCell ref="I4:K4"/>
    <mergeCell ref="M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Income Statement</vt:lpstr>
      <vt:lpstr>Raw Balance Sheet</vt:lpstr>
      <vt:lpstr>Raw Cash Flow Statement</vt:lpstr>
      <vt:lpstr>Income Analysis</vt:lpstr>
      <vt:lpstr>Balance Sheet Analysis</vt:lpstr>
      <vt:lpstr>Cash Flow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2026-08-16T19:42:02Z</dcterms:created>
  <dcterms:modified xsi:type="dcterms:W3CDTF">2026-09-05T05:14:02Z</dcterms:modified>
</cp:coreProperties>
</file>